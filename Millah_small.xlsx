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1"/>
  </bookViews>
  <sheets>
    <sheet name="Info" sheetId="1" state="visible" r:id="rId2"/>
    <sheet name="Legend" sheetId="2" state="visible" r:id="rId3"/>
    <sheet name="Data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<sst xmlns="http://schemas.openxmlformats.org/spreadsheetml/2006/main" count="53" uniqueCount="53">
  <si>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Millah v 0.1</t>
  </si>
  <si>
    <t xml:space="preserve">Variable name</t>
  </si>
  <si>
    <t xml:space="preserve">Variable definition</t>
  </si>
  <si>
    <t>Source</t>
  </si>
  <si>
    <t xml:space="preserve">Identifier variables</t>
  </si>
  <si>
    <t>year</t>
  </si>
  <si>
    <t xml:space="preserve">Value of agricultural production (Thousands of Mexican pesos)</t>
  </si>
  <si>
    <t>http://dgeiawf.semarnat.gob.mx:8080/ibi_apps/WFServlet?IBIF_ex=D2_AGRIGAN03_04&amp;IBIC_user=dgeia_mce&amp;IBIC_pass=dgeia_mce&amp;NOMBREENTIDAD=*&amp;NOMBREANIO=*</t>
  </si>
  <si>
    <t>vp_aw</t>
  </si>
  <si>
    <t xml:space="preserve">Cyclical crops (autumn-winter cycle)</t>
  </si>
  <si>
    <t>vp_ss</t>
  </si>
  <si>
    <t xml:space="preserve">Cyclical crops (spring-summer cycle)</t>
  </si>
  <si>
    <t>vp_pc</t>
  </si>
  <si>
    <t xml:space="preserve">Perennial crops</t>
  </si>
  <si>
    <t>vp_to</t>
  </si>
  <si>
    <t>Total</t>
  </si>
  <si>
    <t xml:space="preserve">Value of cyclical organic crop production (Thousands Mexican pesos)</t>
  </si>
  <si>
    <t>http://dgeiawf.semarnat.gob.mx:8080/ibi_apps/WFServlet?IBIF_ex=D2_AGRIGAN03_07&amp;IBIC_user=dgeia_mce&amp;IBIC_pass=dgeia_mce&amp;NOMBREENTIDAD=*&amp;NOMBREANIO=*</t>
  </si>
  <si>
    <t>vo_aw</t>
  </si>
  <si>
    <t>vo_ss</t>
  </si>
  <si>
    <t xml:space="preserve">Area planted and harvested and value of production of perennial organic crops</t>
  </si>
  <si>
    <t>http://dgeiawf.semarnat.gob.mx:8080/ibi_apps/WFServlet?IBIF_ex=D2_AGRIGAN03_08&amp;IBIC_user=dgeia_mce&amp;IBIC_pass=dgeia_mce&amp;NOMBREENTIDAD=*&amp;NOMBREANIO=*</t>
  </si>
  <si>
    <t>vo_pc</t>
  </si>
  <si>
    <t>vo_to</t>
  </si>
  <si>
    <t>to</t>
  </si>
  <si>
    <t xml:space="preserve">EDGAR Green House Gases database (Mexico,agriculture,2026)</t>
  </si>
  <si>
    <t>https://edgar.jrc.ec.europa.eu/report_2026</t>
  </si>
  <si>
    <t>gh_me</t>
  </si>
  <si>
    <t xml:space="preserve">Total GHG in Mexico</t>
  </si>
  <si>
    <t>gh_co</t>
  </si>
  <si>
    <t>CO2</t>
  </si>
  <si>
    <t>gh_ch</t>
  </si>
  <si>
    <t>CH4</t>
  </si>
  <si>
    <t>gh_no</t>
  </si>
  <si>
    <t>N20</t>
  </si>
  <si>
    <t>gh_to</t>
  </si>
  <si>
    <t xml:space="preserve">Total GHG (Agriculture)</t>
  </si>
  <si>
    <t xml:space="preserve">Costs of natural resource depletion by economic activity and households (Millions of pesos at current prices)</t>
  </si>
  <si>
    <t>http://dgeiawf.semarnat.gob.mx:8080/ibi_apps/WFServlet?IBIF_ex=D2_CAMBIENT07_17&amp;IBIC_user=dgeia_mce&amp;IBIC_pass=dgeia_mce&amp;NOMBREANIO=*</t>
  </si>
  <si>
    <t>cn_ag</t>
  </si>
  <si>
    <t xml:space="preserve">Agriculture, livestock farming, forestry, fishing, and hunting</t>
  </si>
  <si>
    <t xml:space="preserve">Costs of environmental degradation by economic activity and households (Millions of mexican pesos at current prices)</t>
  </si>
  <si>
    <t>http://dgeiawf.semarnat.gob.mx:8080/ibi_apps/WFServlet?IBIF_ex=D2_CAMBIENT07_01c&amp;IBIC_user=dgeia_mce&amp;IBIC_pass=dgeia_mce&amp;NOMBREANIO=*</t>
  </si>
  <si>
    <t>ce_ag</t>
  </si>
  <si>
    <t xml:space="preserve">Apparent consumption of livestock products (tonnes)</t>
  </si>
  <si>
    <t>http://dgeiawf.semarnat.gob.mx:8080/ibi_apps/WFServlet?IBIF_ex=D2_AGRIGAN04_07&amp;IBIC_user=dgeia_mce&amp;IBIC_pass=dgeia_mce&amp;NOMBREANIO=*</t>
  </si>
  <si>
    <t>ap_bc</t>
  </si>
  <si>
    <t xml:space="preserve">Beef cattle</t>
  </si>
  <si>
    <t>ap_po</t>
  </si>
  <si>
    <t>Porcine</t>
  </si>
  <si>
    <t>ap_bi</t>
  </si>
  <si>
    <t xml:space="preserve">Birds for meat production</t>
  </si>
  <si>
    <t>ap_to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</si>
</sst>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4.000000"/>
      <color theme="1"/>
      <name val="Calibri"/>
      <scheme val="minor"/>
    </font>
    <font>
      <i/>
      <sz val="11.000000"/>
      <color theme="1"/>
      <name val="Calibri"/>
      <scheme val="minor"/>
    </font>
    <font>
      <i/>
      <sz val="12.000000"/>
      <color theme="1"/>
      <name val="Calibri"/>
      <scheme val="minor"/>
    </font>
    <font>
      <u/>
      <sz val="11.000000"/>
      <color theme="10"/>
      <name val="Calibri"/>
    </font>
    <font>
      <sz val="10.000000"/>
      <name val="Arial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1" numFmtId="0" xfId="0" applyFont="1" applyBorder="1"/>
    <xf fontId="2" fillId="0" borderId="1" numFmtId="0" xfId="0" applyFont="1" applyBorder="1"/>
    <xf fontId="3" fillId="0" borderId="0" numFmtId="0" xfId="0" applyFont="1"/>
    <xf fontId="4" fillId="0" borderId="0" numFmtId="0" xfId="0" applyFont="1" applyAlignment="1">
      <alignment wrapText="1"/>
    </xf>
    <xf fontId="5" fillId="0" borderId="0" numFmtId="0" xfId="0" applyFont="1" applyAlignment="1">
      <alignment wrapText="1"/>
    </xf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</xf>
    <xf fontId="6" fillId="0" borderId="0" numFmtId="3" xfId="0" applyNumberFormat="1" applyFont="1"/>
    <xf fontId="7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://dgeiawf.semarnat.gob.mx:8080/ibi_apps/WFServlet?IBIF_ex=D2_AGRIGAN03_04&amp;IBIC_user=dgeia_mce&amp;IBIC_pass=dgeia_mce&amp;NOMBREENTIDAD=*&amp;NOMBREANIO=*" TargetMode="External"/><Relationship  Id="rId2" Type="http://schemas.openxmlformats.org/officeDocument/2006/relationships/hyperlink" Target="http://dgeiawf.semarnat.gob.mx:8080/ibi_apps/WFServlet?IBIF_ex=D2_AGRIGAN03_07&amp;IBIC_user=dgeia_mce&amp;IBIC_pass=dgeia_mce&amp;NOMBREENTIDAD=*&amp;NOMBREANIO=*" TargetMode="External"/><Relationship  Id="rId3" Type="http://schemas.openxmlformats.org/officeDocument/2006/relationships/hyperlink" Target="http://dgeiawf.semarnat.gob.mx:8080/ibi_apps/WFServlet?IBIF_ex=D2_AGRIGAN03_08&amp;IBIC_user=dgeia_mce&amp;IBIC_pass=dgeia_mce&amp;NOMBREENTIDAD=*&amp;NOMBREANIO=*" TargetMode="External"/><Relationship  Id="rId4" Type="http://schemas.openxmlformats.org/officeDocument/2006/relationships/hyperlink" Target="https://edgar.jrc.ec.europa.eu/report_2026" TargetMode="External"/><Relationship  Id="rId5" Type="http://schemas.openxmlformats.org/officeDocument/2006/relationships/hyperlink" Target="http://dgeiawf.semarnat.gob.mx:8080/ibi_apps/WFServlet?IBIF_ex=D2_CAMBIENT07_17&amp;IBIC_user=dgeia_mce&amp;IBIC_pass=dgeia_mce&amp;NOMBREANIO=*" TargetMode="External"/><Relationship  Id="rId6" Type="http://schemas.openxmlformats.org/officeDocument/2006/relationships/hyperlink" Target="http://dgeiawf.semarnat.gob.mx:8080/ibi_apps/WFServlet?IBIF_ex=D2_CAMBIENT07_01c&amp;IBIC_user=dgeia_mce&amp;IBIC_pass=dgeia_mce&amp;NOMBREANIO=*" TargetMode="External"/><Relationship  Id="rId7" Type="http://schemas.openxmlformats.org/officeDocument/2006/relationships/hyperlink" Target="http://dgeiawf.semarnat.gob.mx:8080/ibi_apps/WFServlet?IBIF_ex=D2_AGRIGAN04_07&amp;IBIC_user=dgeia_mce&amp;IBIC_pass=dgeia_mce&amp;NOMBREANIO=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421875"/>
  </cols>
  <sheetData>
    <row r="1" ht="26.25">
      <c r="A1" s="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28125"/>
    <col customWidth="1" min="2" max="2" width="31.421875"/>
    <col customWidth="1" min="3" max="3" width="59.421875"/>
  </cols>
  <sheetData>
    <row r="1" ht="18.75">
      <c r="A1" s="2" t="s">
        <v>1</v>
      </c>
      <c r="B1" s="2" t="s">
        <v>2</v>
      </c>
      <c r="C1" s="2" t="s">
        <v>3</v>
      </c>
    </row>
    <row r="2" ht="14.25">
      <c r="A2" s="3" t="s">
        <v>4</v>
      </c>
    </row>
    <row r="3" ht="14.25">
      <c r="A3" t="s">
        <v>5</v>
      </c>
      <c r="B3" t="s">
        <v>5</v>
      </c>
    </row>
    <row r="5" ht="64.599999999999994" customHeight="1">
      <c r="A5" s="4" t="s">
        <v>6</v>
      </c>
      <c r="C5" s="5" t="s">
        <v>7</v>
      </c>
    </row>
    <row r="6" ht="14.25">
      <c r="A6" t="s">
        <v>8</v>
      </c>
      <c r="B6" s="6" t="s">
        <v>9</v>
      </c>
    </row>
    <row r="7" ht="14.25">
      <c r="A7" t="s">
        <v>10</v>
      </c>
      <c r="B7" t="s">
        <v>11</v>
      </c>
    </row>
    <row r="8" ht="14.25">
      <c r="A8" t="s">
        <v>12</v>
      </c>
      <c r="B8" t="s">
        <v>13</v>
      </c>
    </row>
    <row r="9" ht="14.25">
      <c r="A9" t="s">
        <v>14</v>
      </c>
      <c r="B9" t="s">
        <v>15</v>
      </c>
    </row>
    <row r="11" ht="66">
      <c r="A11" s="4" t="s">
        <v>16</v>
      </c>
      <c r="C11" s="5" t="s">
        <v>17</v>
      </c>
    </row>
    <row r="12" ht="14.25">
      <c r="A12" t="s">
        <v>18</v>
      </c>
      <c r="B12" t="s">
        <v>9</v>
      </c>
    </row>
    <row r="13" ht="14.25">
      <c r="A13" t="s">
        <v>19</v>
      </c>
      <c r="B13" s="7" t="s">
        <v>11</v>
      </c>
    </row>
    <row r="15" ht="49.5">
      <c r="A15" s="4" t="s">
        <v>20</v>
      </c>
      <c r="C15" s="5" t="s">
        <v>21</v>
      </c>
    </row>
    <row r="16" ht="14.25">
      <c r="A16" t="s">
        <v>22</v>
      </c>
      <c r="B16" s="7" t="s">
        <v>13</v>
      </c>
    </row>
    <row r="17" ht="14.25">
      <c r="A17" s="6" t="s">
        <v>23</v>
      </c>
      <c r="B17" s="7" t="s">
        <v>24</v>
      </c>
    </row>
    <row r="19" ht="49.5">
      <c r="A19" s="4" t="s">
        <v>25</v>
      </c>
      <c r="C19" s="5" t="s">
        <v>26</v>
      </c>
    </row>
    <row r="20" ht="14.25">
      <c r="A20" t="s">
        <v>27</v>
      </c>
      <c r="B20" t="s">
        <v>28</v>
      </c>
    </row>
    <row r="21" ht="14.25">
      <c r="A21" t="s">
        <v>29</v>
      </c>
      <c r="B21" t="s">
        <v>30</v>
      </c>
    </row>
    <row r="22" ht="14.25">
      <c r="A22" t="s">
        <v>31</v>
      </c>
      <c r="B22" t="s">
        <v>32</v>
      </c>
    </row>
    <row r="23" ht="14.25">
      <c r="A23" t="s">
        <v>33</v>
      </c>
      <c r="B23" t="s">
        <v>34</v>
      </c>
    </row>
    <row r="24" ht="14.25">
      <c r="A24" t="s">
        <v>35</v>
      </c>
      <c r="B24" t="s">
        <v>36</v>
      </c>
    </row>
    <row r="26" ht="66">
      <c r="A26" s="4" t="s">
        <v>37</v>
      </c>
      <c r="C26" s="5" t="s">
        <v>38</v>
      </c>
    </row>
    <row r="27" ht="28.5">
      <c r="A27" t="s">
        <v>39</v>
      </c>
      <c r="B27" s="8" t="s">
        <v>40</v>
      </c>
    </row>
    <row r="29" ht="57">
      <c r="A29" s="8" t="s">
        <v>41</v>
      </c>
      <c r="C29" s="5" t="s">
        <v>42</v>
      </c>
    </row>
    <row r="30" ht="28.5">
      <c r="A30" t="s">
        <v>43</v>
      </c>
      <c r="B30" s="8" t="s">
        <v>40</v>
      </c>
    </row>
    <row r="32" ht="42.75">
      <c r="A32" s="8" t="s">
        <v>44</v>
      </c>
      <c r="C32" s="5" t="s">
        <v>45</v>
      </c>
    </row>
    <row r="33" ht="14.25">
      <c r="A33" t="s">
        <v>46</v>
      </c>
      <c r="B33" t="s">
        <v>47</v>
      </c>
    </row>
    <row r="34" ht="14.25">
      <c r="A34" t="s">
        <v>48</v>
      </c>
      <c r="B34" t="s">
        <v>49</v>
      </c>
    </row>
    <row r="35" ht="14.25">
      <c r="A35" t="s">
        <v>50</v>
      </c>
      <c r="B35" t="s">
        <v>51</v>
      </c>
    </row>
    <row r="37" ht="14.25">
      <c r="A37" s="8"/>
      <c r="C37" s="5"/>
    </row>
  </sheetData>
  <hyperlinks>
    <hyperlink r:id="rId1" ref="C5"/>
    <hyperlink r:id="rId2" ref="C11"/>
    <hyperlink r:id="rId3" ref="C15"/>
    <hyperlink r:id="rId4" ref="C19"/>
    <hyperlink r:id="rId5" ref="C26"/>
    <hyperlink r:id="rId6" ref="C29"/>
    <hyperlink r:id="rId7" ref="C3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A1" activeCellId="0" sqref="A1"/>
    </sheetView>
  </sheetViews>
  <sheetFormatPr defaultRowHeight="14.25"/>
  <cols>
    <col customWidth="1" min="2" max="2" width="12.28125"/>
    <col customWidth="1" min="3" max="3" width="15.140625"/>
    <col customWidth="1" min="4" max="4" width="13.00390625"/>
    <col customWidth="1" min="5" max="5" width="13.28125"/>
    <col customWidth="1" min="6" max="6" width="12.57421875"/>
    <col customWidth="1" min="7" max="7" style="0" width="12.421875"/>
    <col customWidth="1" min="8" max="8" width="13.00390625"/>
    <col customWidth="1" min="9" max="9" width="17.140625"/>
    <col bestFit="1" min="14" max="14" width="9.69140625"/>
    <col customWidth="1" min="15" max="15" width="12.00390625"/>
    <col customWidth="1" min="16" max="16" style="0" width="17.140625"/>
    <col customWidth="1" min="17" max="17" style="0" width="17.00390625"/>
    <col customWidth="1" min="18" max="18" style="0" width="15.140625"/>
    <col customWidth="1" min="19" max="19" style="0" width="16.140625"/>
  </cols>
  <sheetData>
    <row r="1" ht="14.25">
      <c r="A1" t="s">
        <v>5</v>
      </c>
      <c r="B1" t="s">
        <v>8</v>
      </c>
      <c r="C1" t="s">
        <v>10</v>
      </c>
      <c r="D1" t="s">
        <v>12</v>
      </c>
      <c r="E1" t="s">
        <v>14</v>
      </c>
      <c r="F1" t="s">
        <v>18</v>
      </c>
      <c r="G1" t="s">
        <v>19</v>
      </c>
      <c r="H1" t="s">
        <v>22</v>
      </c>
      <c r="I1" s="6" t="s">
        <v>23</v>
      </c>
      <c r="J1" t="s">
        <v>29</v>
      </c>
      <c r="K1" t="s">
        <v>31</v>
      </c>
      <c r="L1" t="s">
        <v>33</v>
      </c>
      <c r="M1" s="6" t="s">
        <v>35</v>
      </c>
      <c r="N1" t="s">
        <v>39</v>
      </c>
      <c r="O1" t="s">
        <v>43</v>
      </c>
      <c r="P1" t="s">
        <v>46</v>
      </c>
      <c r="Q1" t="s">
        <v>48</v>
      </c>
      <c r="R1" t="s">
        <v>50</v>
      </c>
      <c r="S1" t="s">
        <v>52</v>
      </c>
    </row>
    <row r="2" ht="14.25">
      <c r="A2">
        <v>2003</v>
      </c>
      <c r="B2" s="6">
        <v>39530470.012189999</v>
      </c>
      <c r="C2">
        <v>72035941.59544</v>
      </c>
      <c r="D2">
        <v>80854036.340000004</v>
      </c>
      <c r="E2">
        <v>192420447.94</v>
      </c>
      <c r="F2">
        <v>155840.42911000003</v>
      </c>
      <c r="G2">
        <v>87848.858970000001</v>
      </c>
      <c r="H2">
        <v>76081.419999999998</v>
      </c>
      <c r="I2" s="6">
        <f t="shared" ref="I2:I9" si="0">F2+G2+H2</f>
        <v>319770.70808000001</v>
      </c>
      <c r="J2">
        <v>2.9180379237515002</v>
      </c>
      <c r="K2">
        <v>70.518927819416007</v>
      </c>
      <c r="L2">
        <v>25.026472099603001</v>
      </c>
      <c r="M2" s="7">
        <f t="shared" ref="M2:M9" si="1">J2+K2+L2</f>
        <v>98.463437842770503</v>
      </c>
      <c r="N2" s="9">
        <v>21074.322</v>
      </c>
      <c r="O2" s="9">
        <v>41524.358</v>
      </c>
      <c r="P2" s="10">
        <v>1829427.9217900001</v>
      </c>
      <c r="Q2" s="10">
        <v>1621179.93429</v>
      </c>
      <c r="R2" s="10">
        <v>2428279.5933500002</v>
      </c>
      <c r="S2">
        <f t="shared" ref="S2:S9" si="2">P2+Q2+R2</f>
        <v>5878887.44943</v>
      </c>
    </row>
    <row r="3" ht="14.25">
      <c r="A3">
        <v>2004</v>
      </c>
      <c r="B3" s="6">
        <v>48361322.549999997</v>
      </c>
      <c r="C3">
        <v>76758702.430000007</v>
      </c>
      <c r="D3">
        <v>85519975.739999995</v>
      </c>
      <c r="E3">
        <v>210640000.72</v>
      </c>
      <c r="F3">
        <v>227708.99406999999</v>
      </c>
      <c r="G3">
        <v>81799.958409999992</v>
      </c>
      <c r="H3">
        <v>76503.800000000003</v>
      </c>
      <c r="I3">
        <f t="shared" si="0"/>
        <v>386012.75247999997</v>
      </c>
      <c r="J3">
        <v>2.9710474441418002</v>
      </c>
      <c r="K3">
        <v>70.500905003346006</v>
      </c>
      <c r="L3">
        <v>24.756735831518998</v>
      </c>
      <c r="M3" s="7">
        <f t="shared" si="1"/>
        <v>98.228688279006803</v>
      </c>
      <c r="N3" s="9">
        <v>19557.489000000001</v>
      </c>
      <c r="O3" s="9">
        <v>39858.947999999997</v>
      </c>
      <c r="P3" s="10">
        <v>1783243.53073</v>
      </c>
      <c r="Q3" s="10">
        <v>1677381.68811</v>
      </c>
      <c r="R3" s="10">
        <v>2614589.1409399998</v>
      </c>
      <c r="S3">
        <f t="shared" si="2"/>
        <v>6075214.3597800005</v>
      </c>
    </row>
    <row r="4" ht="14.25">
      <c r="A4">
        <v>2005</v>
      </c>
      <c r="B4" s="6">
        <v>45303963.149999999</v>
      </c>
      <c r="C4">
        <v>66185862.079999998</v>
      </c>
      <c r="D4">
        <v>88760764.540000007</v>
      </c>
      <c r="E4">
        <v>200250589.75999999</v>
      </c>
      <c r="F4">
        <v>142220.64152999999</v>
      </c>
      <c r="G4">
        <v>53946.767970000001</v>
      </c>
      <c r="H4">
        <v>75169.830000000002</v>
      </c>
      <c r="I4">
        <f t="shared" si="0"/>
        <v>271337.23950000003</v>
      </c>
      <c r="J4">
        <v>2.7517807771284999</v>
      </c>
      <c r="K4">
        <v>72.602134566090001</v>
      </c>
      <c r="L4">
        <v>24.529961887881999</v>
      </c>
      <c r="M4" s="7">
        <f t="shared" si="1"/>
        <v>99.883877231100499</v>
      </c>
      <c r="N4" s="9">
        <v>20392.784</v>
      </c>
      <c r="O4" s="9">
        <v>43526.428</v>
      </c>
      <c r="P4" s="10">
        <v>1818863.3321799999</v>
      </c>
      <c r="Q4" s="10">
        <v>1664136.5396</v>
      </c>
      <c r="R4" s="10">
        <v>2798243.0418600002</v>
      </c>
      <c r="S4">
        <f t="shared" si="2"/>
        <v>6281242.9136399999</v>
      </c>
    </row>
    <row r="5" ht="14.25">
      <c r="A5">
        <v>2006</v>
      </c>
      <c r="B5" s="6">
        <v>47837610.539999999</v>
      </c>
      <c r="C5">
        <v>87736581.569999993</v>
      </c>
      <c r="D5">
        <v>97134780.079999998</v>
      </c>
      <c r="E5">
        <v>232708972.19</v>
      </c>
      <c r="F5">
        <v>68049.14334000001</v>
      </c>
      <c r="G5">
        <v>675671.96415999997</v>
      </c>
      <c r="H5">
        <v>90439.486700000009</v>
      </c>
      <c r="I5">
        <f t="shared" si="0"/>
        <v>834160.59419999993</v>
      </c>
      <c r="J5">
        <v>2.8074093700359</v>
      </c>
      <c r="K5">
        <v>73.333143438573998</v>
      </c>
      <c r="L5">
        <v>24.450238687728</v>
      </c>
      <c r="M5" s="7">
        <f t="shared" si="1"/>
        <v>100.5907914963379</v>
      </c>
      <c r="N5" s="9">
        <v>21438.554</v>
      </c>
      <c r="O5" s="9">
        <v>46897.821000000004</v>
      </c>
      <c r="P5" s="10">
        <v>1913603.42438</v>
      </c>
      <c r="Q5" s="10">
        <v>1677826.00327</v>
      </c>
      <c r="R5" s="10">
        <v>2880215.5295699998</v>
      </c>
      <c r="S5">
        <f t="shared" si="2"/>
        <v>6471644.9572199993</v>
      </c>
    </row>
    <row r="6" ht="14.25">
      <c r="A6">
        <v>2007</v>
      </c>
      <c r="B6" s="6">
        <v>61916633.740000002</v>
      </c>
      <c r="C6">
        <v>95555433.230000004</v>
      </c>
      <c r="D6">
        <v>112478914.25</v>
      </c>
      <c r="E6">
        <v>269950981.22000003</v>
      </c>
      <c r="F6">
        <v>85713.0772</v>
      </c>
      <c r="G6">
        <v>110005.79541999999</v>
      </c>
      <c r="H6">
        <v>96143.694000000003</v>
      </c>
      <c r="I6">
        <f t="shared" si="0"/>
        <v>291862.56662</v>
      </c>
      <c r="J6">
        <v>2.9097093202119</v>
      </c>
      <c r="K6">
        <v>74.052174649582994</v>
      </c>
      <c r="L6">
        <v>25.406906220071001</v>
      </c>
      <c r="M6" s="7">
        <f t="shared" si="1"/>
        <v>102.3687901898659</v>
      </c>
      <c r="N6" s="9">
        <v>21905.936000000002</v>
      </c>
      <c r="O6" s="9">
        <v>52642.326000000001</v>
      </c>
      <c r="P6" s="10">
        <v>1949794.1940599999</v>
      </c>
      <c r="Q6" s="10">
        <v>1709800.5984799999</v>
      </c>
      <c r="R6" s="10">
        <v>2922743.57761</v>
      </c>
      <c r="S6">
        <f t="shared" si="2"/>
        <v>6582338.3701499999</v>
      </c>
    </row>
    <row r="7" ht="14.25">
      <c r="A7">
        <v>2008</v>
      </c>
      <c r="B7" s="6">
        <v>75483888.219999999</v>
      </c>
      <c r="C7">
        <v>114371030.04000001</v>
      </c>
      <c r="D7">
        <v>116095727.65000001</v>
      </c>
      <c r="E7">
        <v>305950645.89999998</v>
      </c>
      <c r="F7">
        <v>169930.72728999998</v>
      </c>
      <c r="G7">
        <v>247279.84153999999</v>
      </c>
      <c r="H7">
        <v>83559.235029999996</v>
      </c>
      <c r="I7">
        <f t="shared" si="0"/>
        <v>500769.80385999999</v>
      </c>
      <c r="J7">
        <v>2.7512569764018999</v>
      </c>
      <c r="K7">
        <v>74.944132460988001</v>
      </c>
      <c r="L7">
        <v>24.804860342327999</v>
      </c>
      <c r="M7" s="7">
        <f t="shared" si="1"/>
        <v>102.5002497797179</v>
      </c>
      <c r="N7" s="9">
        <v>16185.346</v>
      </c>
      <c r="O7" s="9">
        <v>58880.300999999999</v>
      </c>
      <c r="P7" s="10">
        <v>1980662.7017600001</v>
      </c>
      <c r="Q7" s="10">
        <v>1786342.0455400001</v>
      </c>
      <c r="R7" s="10">
        <v>3017220.4074200001</v>
      </c>
      <c r="S7">
        <f t="shared" si="2"/>
        <v>6784225.15472</v>
      </c>
    </row>
    <row r="8" ht="14.25">
      <c r="A8">
        <v>2009</v>
      </c>
      <c r="B8" s="6">
        <v>73371440.489999995</v>
      </c>
      <c r="C8">
        <v>101305630.43000001</v>
      </c>
      <c r="D8">
        <v>119984859.68000001</v>
      </c>
      <c r="E8">
        <v>294661930.58999997</v>
      </c>
      <c r="F8">
        <v>65173.250070000002</v>
      </c>
      <c r="G8">
        <v>266852.45040000003</v>
      </c>
      <c r="H8">
        <v>119274.2997</v>
      </c>
      <c r="I8">
        <f t="shared" si="0"/>
        <v>451300.00017000001</v>
      </c>
      <c r="J8">
        <v>2.8870284034083</v>
      </c>
      <c r="K8">
        <v>75.932343256783994</v>
      </c>
      <c r="L8">
        <v>25.166030400345001</v>
      </c>
      <c r="M8" s="7">
        <f t="shared" si="1"/>
        <v>103.9854020605373</v>
      </c>
      <c r="N8" s="9">
        <v>22210.413</v>
      </c>
      <c r="O8" s="9">
        <v>48800.519999999997</v>
      </c>
      <c r="P8" s="10">
        <v>1947809.4061799999</v>
      </c>
      <c r="Q8" s="10">
        <v>1924755.45309</v>
      </c>
      <c r="R8" s="10">
        <v>3097591.02189</v>
      </c>
      <c r="S8">
        <f t="shared" si="2"/>
        <v>6970155.8811600003</v>
      </c>
    </row>
    <row r="9" ht="14.25">
      <c r="A9">
        <v>2010</v>
      </c>
      <c r="B9" s="6">
        <v>75520242.584370002</v>
      </c>
      <c r="C9">
        <v>120390158.38683</v>
      </c>
      <c r="D9">
        <v>135875618.31777999</v>
      </c>
      <c r="E9">
        <v>331786019.28898001</v>
      </c>
      <c r="F9">
        <v>139597.09697000001</v>
      </c>
      <c r="G9">
        <v>161062.40802</v>
      </c>
      <c r="H9">
        <v>149209.83927</v>
      </c>
      <c r="I9">
        <f t="shared" si="0"/>
        <v>449869.34426000004</v>
      </c>
      <c r="J9">
        <v>2.9123807585982999</v>
      </c>
      <c r="K9">
        <v>76.761047642617001</v>
      </c>
      <c r="L9">
        <v>25.664257436351001</v>
      </c>
      <c r="M9" s="7">
        <f t="shared" si="1"/>
        <v>105.33768583756631</v>
      </c>
      <c r="N9" s="9">
        <v>17832.524000000001</v>
      </c>
      <c r="O9" s="9">
        <v>50957.659</v>
      </c>
      <c r="P9" s="10">
        <v>1947964.74</v>
      </c>
      <c r="Q9" s="10">
        <v>1909283.28</v>
      </c>
      <c r="R9" s="10">
        <v>3203612.22964</v>
      </c>
      <c r="S9">
        <f t="shared" si="2"/>
        <v>7060860.2496400001</v>
      </c>
    </row>
    <row r="10" ht="14.25">
      <c r="A10">
        <v>2011</v>
      </c>
      <c r="B10" s="6">
        <v>77569832.236619994</v>
      </c>
      <c r="C10">
        <v>124902376.9067</v>
      </c>
      <c r="D10">
        <v>152184649.80309001</v>
      </c>
      <c r="E10">
        <v>354656858.94641</v>
      </c>
      <c r="F10">
        <v>145730.75091</v>
      </c>
      <c r="G10">
        <v>220063.13741999998</v>
      </c>
      <c r="H10">
        <v>316922.59709</v>
      </c>
      <c r="I10">
        <f t="shared" ref="I10:I23" si="3">F10+G10+H10</f>
        <v>682716.48542000004</v>
      </c>
      <c r="J10">
        <v>2.8956188538451002</v>
      </c>
      <c r="K10">
        <v>77.578625828775998</v>
      </c>
      <c r="L10">
        <v>25.756545993816001</v>
      </c>
      <c r="M10" s="7">
        <f t="shared" ref="M10:M23" si="4">J10+K10+L10</f>
        <v>106.23079067643711</v>
      </c>
      <c r="N10" s="9">
        <v>26743.861000000001</v>
      </c>
      <c r="O10" s="9">
        <v>56417.767</v>
      </c>
      <c r="P10" s="7">
        <v>1948431.473</v>
      </c>
      <c r="Q10" s="7">
        <v>1845132.1699999999</v>
      </c>
      <c r="R10" s="7">
        <v>3284824.2088899999</v>
      </c>
      <c r="S10">
        <f t="shared" ref="S10:S23" si="5">P10+Q10+R10</f>
        <v>7078387.8518899996</v>
      </c>
    </row>
    <row r="11" ht="14.25">
      <c r="A11">
        <v>2012</v>
      </c>
      <c r="B11" s="6">
        <v>94759957.460649997</v>
      </c>
      <c r="C11">
        <v>152818495.8008</v>
      </c>
      <c r="D11">
        <v>162581801.04402</v>
      </c>
      <c r="E11">
        <v>410160254.30546999</v>
      </c>
      <c r="F11">
        <v>456459.48697000003</v>
      </c>
      <c r="G11">
        <v>322747.53106999997</v>
      </c>
      <c r="H11">
        <v>301951.74552999996</v>
      </c>
      <c r="I11">
        <f t="shared" si="3"/>
        <v>1081158.76357</v>
      </c>
      <c r="J11">
        <v>3.0443807557701001</v>
      </c>
      <c r="K11">
        <v>76.276171899138006</v>
      </c>
      <c r="L11">
        <v>25.686851815791002</v>
      </c>
      <c r="M11" s="7">
        <f t="shared" si="4"/>
        <v>105.00740447069911</v>
      </c>
      <c r="N11" s="9">
        <v>10050.789000000001</v>
      </c>
      <c r="O11" s="9">
        <v>64120.434000000001</v>
      </c>
      <c r="P11" s="7">
        <v>1871343.6061189999</v>
      </c>
      <c r="Q11" s="7">
        <v>1948915.8153230001</v>
      </c>
      <c r="R11" s="7">
        <v>3342792.948297</v>
      </c>
      <c r="S11">
        <f t="shared" si="5"/>
        <v>7163052.3697389998</v>
      </c>
    </row>
    <row r="12" ht="14.25">
      <c r="A12">
        <v>2013</v>
      </c>
      <c r="B12" s="6">
        <v>87892279.730000004</v>
      </c>
      <c r="C12">
        <v>143029683.53388</v>
      </c>
      <c r="D12">
        <v>164586098.02792999</v>
      </c>
      <c r="E12">
        <v>395508061.13999999</v>
      </c>
      <c r="F12">
        <v>572028.37635999999</v>
      </c>
      <c r="G12">
        <v>228525.10456000001</v>
      </c>
      <c r="H12">
        <v>262957.03632000001</v>
      </c>
      <c r="I12">
        <f t="shared" si="3"/>
        <v>1063510.51724</v>
      </c>
      <c r="J12">
        <v>3.4335188530892999</v>
      </c>
      <c r="K12">
        <v>77.676477021932001</v>
      </c>
      <c r="L12">
        <v>27.722837033870999</v>
      </c>
      <c r="M12" s="7">
        <f t="shared" si="4"/>
        <v>108.8328329088923</v>
      </c>
      <c r="N12" s="9">
        <v>22459.072</v>
      </c>
      <c r="O12" s="9">
        <v>68151.297000000006</v>
      </c>
      <c r="P12" s="7">
        <v>1899358.601817</v>
      </c>
      <c r="Q12" s="7">
        <v>2016948.5108719999</v>
      </c>
      <c r="R12" s="7">
        <v>3389636.742995</v>
      </c>
      <c r="S12">
        <f t="shared" si="5"/>
        <v>7305943.8556839991</v>
      </c>
    </row>
    <row r="13" ht="14.25">
      <c r="A13">
        <v>2014</v>
      </c>
      <c r="B13" s="6">
        <v>94522363.007699996</v>
      </c>
      <c r="C13">
        <v>144036741.40720001</v>
      </c>
      <c r="D13">
        <v>178787489.71867001</v>
      </c>
      <c r="E13">
        <v>417346594.13357002</v>
      </c>
      <c r="F13">
        <v>574340.99572999997</v>
      </c>
      <c r="G13">
        <v>289540.15811999998</v>
      </c>
      <c r="H13">
        <v>342855.12669999996</v>
      </c>
      <c r="I13">
        <f t="shared" si="3"/>
        <v>1206736.2805499998</v>
      </c>
      <c r="J13">
        <v>3.3667855158320998</v>
      </c>
      <c r="K13">
        <v>79.066897846512006</v>
      </c>
      <c r="L13">
        <v>27.903590141904001</v>
      </c>
      <c r="M13" s="7">
        <f t="shared" si="4"/>
        <v>110.33727350424812</v>
      </c>
      <c r="N13" s="9">
        <v>28036.565999999999</v>
      </c>
      <c r="O13" s="9">
        <v>71777.183999999994</v>
      </c>
      <c r="P13" s="7">
        <v>1898429.2720000001</v>
      </c>
      <c r="Q13" s="7">
        <v>1996263.2279999999</v>
      </c>
      <c r="R13" s="7">
        <v>3492455.466</v>
      </c>
      <c r="S13">
        <f t="shared" si="5"/>
        <v>7387147.966</v>
      </c>
    </row>
    <row r="14" ht="14.25">
      <c r="A14">
        <v>2015</v>
      </c>
      <c r="B14" s="6">
        <v>102045460.20999999</v>
      </c>
      <c r="C14">
        <v>156291554.74000001</v>
      </c>
      <c r="D14">
        <v>185800872.91</v>
      </c>
      <c r="E14">
        <v>444137887.86000001</v>
      </c>
      <c r="F14">
        <v>542749.20999999996</v>
      </c>
      <c r="G14">
        <v>475704.53000000003</v>
      </c>
      <c r="H14">
        <v>1164041.96</v>
      </c>
      <c r="I14">
        <f t="shared" si="3"/>
        <v>2182495.7000000002</v>
      </c>
      <c r="J14">
        <v>3.0915236550973999</v>
      </c>
      <c r="K14">
        <v>80.551741482986998</v>
      </c>
      <c r="L14">
        <v>27.450322675056999</v>
      </c>
      <c r="M14" s="7">
        <f t="shared" si="4"/>
        <v>111.0935878131414</v>
      </c>
      <c r="N14" s="9">
        <v>30495.045999999998</v>
      </c>
      <c r="O14" s="9">
        <v>77718.104999999996</v>
      </c>
      <c r="P14" s="7">
        <v>1872953.02315</v>
      </c>
      <c r="Q14" s="7">
        <v>2143492.3131400002</v>
      </c>
      <c r="R14" s="7">
        <v>3611419.0070699998</v>
      </c>
      <c r="S14">
        <f t="shared" si="5"/>
        <v>7627864.3433599994</v>
      </c>
    </row>
    <row r="15" ht="14.25">
      <c r="A15">
        <v>2016</v>
      </c>
      <c r="B15" s="6">
        <v>119011274.41</v>
      </c>
      <c r="C15">
        <v>178131163.75999999</v>
      </c>
      <c r="D15">
        <v>216793279.52000001</v>
      </c>
      <c r="E15">
        <v>513935717.74000001</v>
      </c>
      <c r="F15">
        <v>849004.01000000001</v>
      </c>
      <c r="G15">
        <v>760501.38</v>
      </c>
      <c r="H15">
        <v>3116316.46</v>
      </c>
      <c r="I15">
        <f t="shared" si="3"/>
        <v>4725821.8499999996</v>
      </c>
      <c r="J15">
        <v>3.1866473832944999</v>
      </c>
      <c r="K15">
        <v>81.361930492439996</v>
      </c>
      <c r="L15">
        <v>29.313359676577001</v>
      </c>
      <c r="M15" s="7">
        <f t="shared" si="4"/>
        <v>113.8619375523115</v>
      </c>
      <c r="N15" s="9">
        <v>35426.453999999998</v>
      </c>
      <c r="O15" s="9">
        <v>83397.588000000003</v>
      </c>
      <c r="P15" s="7">
        <v>1883803</v>
      </c>
      <c r="Q15" s="7">
        <v>2181688</v>
      </c>
      <c r="R15" s="7">
        <v>3705880</v>
      </c>
      <c r="S15">
        <f t="shared" si="5"/>
        <v>7771371</v>
      </c>
    </row>
    <row r="16" ht="14.25">
      <c r="A16">
        <v>2017</v>
      </c>
      <c r="B16" s="6">
        <v>127866765.95999999</v>
      </c>
      <c r="C16">
        <v>199723011.28999999</v>
      </c>
      <c r="D16">
        <v>259643191.18000001</v>
      </c>
      <c r="E16">
        <v>587232968.42999995</v>
      </c>
      <c r="F16">
        <v>961731.02000000002</v>
      </c>
      <c r="G16">
        <v>585659.98999999999</v>
      </c>
      <c r="H16">
        <v>4687402.3700000001</v>
      </c>
      <c r="I16">
        <f t="shared" si="3"/>
        <v>6234793.3799999999</v>
      </c>
      <c r="J16">
        <v>2.7616283451778001</v>
      </c>
      <c r="K16">
        <v>82.408714345790003</v>
      </c>
      <c r="L16">
        <v>29.161181081551</v>
      </c>
      <c r="M16" s="7">
        <f t="shared" si="4"/>
        <v>114.33152377251881</v>
      </c>
      <c r="N16" s="9">
        <v>39508.593000000001</v>
      </c>
      <c r="O16" s="9">
        <v>90152.819000000003</v>
      </c>
      <c r="P16" s="7">
        <v>1912901</v>
      </c>
      <c r="Q16" s="7">
        <v>2180300</v>
      </c>
      <c r="R16" s="7">
        <v>3799091</v>
      </c>
      <c r="S16">
        <f t="shared" si="5"/>
        <v>7892292</v>
      </c>
    </row>
    <row r="17" ht="14.25">
      <c r="A17">
        <v>2018</v>
      </c>
      <c r="B17" s="6">
        <v>136710473.13</v>
      </c>
      <c r="C17">
        <v>211708146.69</v>
      </c>
      <c r="D17">
        <v>292607749.17000002</v>
      </c>
      <c r="E17">
        <v>641026369.00999999</v>
      </c>
      <c r="F17">
        <v>1000691.99</v>
      </c>
      <c r="G17">
        <v>662444.43999999994</v>
      </c>
      <c r="H17">
        <v>4924916.3099999996</v>
      </c>
      <c r="I17">
        <f t="shared" si="3"/>
        <v>6588052.7399999993</v>
      </c>
      <c r="J17">
        <v>2.6265378898691001</v>
      </c>
      <c r="K17">
        <v>83.541696147351999</v>
      </c>
      <c r="L17">
        <v>29.337898867713999</v>
      </c>
      <c r="M17" s="7">
        <f t="shared" si="4"/>
        <v>115.5061329049351</v>
      </c>
      <c r="N17" s="9">
        <v>34206.106</v>
      </c>
      <c r="O17" s="9">
        <v>93289.375</v>
      </c>
      <c r="P17" s="7">
        <v>1954068</v>
      </c>
      <c r="Q17" s="7">
        <v>2308948</v>
      </c>
      <c r="R17" s="7">
        <v>3949576</v>
      </c>
      <c r="S17">
        <f t="shared" si="5"/>
        <v>8212592</v>
      </c>
    </row>
    <row r="18" ht="14.25">
      <c r="A18">
        <v>2019</v>
      </c>
      <c r="B18" s="6">
        <v>152610840.00999999</v>
      </c>
      <c r="C18">
        <v>201002639.13999999</v>
      </c>
      <c r="D18">
        <v>325015366.26999998</v>
      </c>
      <c r="E18">
        <v>678628845.40999997</v>
      </c>
      <c r="F18">
        <v>1110380.6699999999</v>
      </c>
      <c r="G18">
        <v>529892.93000000005</v>
      </c>
      <c r="H18">
        <v>4202230.71</v>
      </c>
      <c r="I18">
        <f t="shared" si="3"/>
        <v>5842504.3100000005</v>
      </c>
      <c r="J18">
        <v>2.5563998066395999</v>
      </c>
      <c r="K18">
        <v>84.472124768483994</v>
      </c>
      <c r="L18">
        <v>29.077898701692</v>
      </c>
      <c r="M18" s="7">
        <f t="shared" si="4"/>
        <v>116.1064232768156</v>
      </c>
      <c r="N18" s="9">
        <v>51974.472999999998</v>
      </c>
      <c r="O18" s="9">
        <v>101926.26300000001</v>
      </c>
      <c r="P18" s="7">
        <v>1912634</v>
      </c>
      <c r="Q18" s="7">
        <v>2327000</v>
      </c>
      <c r="R18" s="7">
        <v>4220262</v>
      </c>
      <c r="S18">
        <f t="shared" si="5"/>
        <v>8459896</v>
      </c>
    </row>
    <row r="19" ht="14.25">
      <c r="A19">
        <v>2020</v>
      </c>
      <c r="B19" s="6">
        <v>146403365.84999999</v>
      </c>
      <c r="C19">
        <v>216236616.13999999</v>
      </c>
      <c r="D19">
        <v>330431967.75999999</v>
      </c>
      <c r="E19">
        <v>693071949.7299999</v>
      </c>
      <c r="F19">
        <v>1146096.4099999999</v>
      </c>
      <c r="G19">
        <v>676343.89000000001</v>
      </c>
      <c r="H19">
        <v>4193164.4100000001</v>
      </c>
      <c r="I19">
        <f t="shared" si="3"/>
        <v>6015604.71</v>
      </c>
      <c r="J19">
        <v>2.7429807168381002</v>
      </c>
      <c r="K19">
        <v>85.471767281279</v>
      </c>
      <c r="L19">
        <v>30.246787166179999</v>
      </c>
      <c r="M19" s="7">
        <f t="shared" si="4"/>
        <v>118.4615351642971</v>
      </c>
      <c r="N19" s="9">
        <v>46073.105000000003</v>
      </c>
      <c r="O19" s="9">
        <v>116130.609</v>
      </c>
      <c r="P19">
        <v>1923262</v>
      </c>
      <c r="Q19">
        <v>2280362</v>
      </c>
      <c r="R19">
        <v>4568279</v>
      </c>
      <c r="S19">
        <f t="shared" si="5"/>
        <v>8771903</v>
      </c>
    </row>
    <row r="20" ht="14.25">
      <c r="A20">
        <v>2021</v>
      </c>
      <c r="B20" s="6">
        <v>164396941.86000001</v>
      </c>
      <c r="C20">
        <v>253021965.58000001</v>
      </c>
      <c r="D20">
        <v>339247820.82999998</v>
      </c>
      <c r="E20">
        <v>756666728.26999998</v>
      </c>
      <c r="F20">
        <v>1579489</v>
      </c>
      <c r="G20">
        <v>1145026.71</v>
      </c>
      <c r="H20">
        <v>4556541.7300000004</v>
      </c>
      <c r="I20">
        <f t="shared" si="3"/>
        <v>7281057.4400000004</v>
      </c>
      <c r="J20">
        <v>2.8075664573912</v>
      </c>
      <c r="K20">
        <v>86.267584633576007</v>
      </c>
      <c r="L20">
        <v>30.272132494845</v>
      </c>
      <c r="M20" s="7">
        <f t="shared" si="4"/>
        <v>119.34728358581221</v>
      </c>
      <c r="N20" s="9">
        <v>47591.482000000004</v>
      </c>
      <c r="O20" s="9">
        <v>134528.89000000001</v>
      </c>
      <c r="P20">
        <v>1963793</v>
      </c>
      <c r="Q20">
        <v>2555770</v>
      </c>
      <c r="R20">
        <v>4586561</v>
      </c>
      <c r="S20">
        <f t="shared" si="5"/>
        <v>9106124</v>
      </c>
    </row>
    <row r="21" ht="14.25">
      <c r="A21">
        <v>2022</v>
      </c>
      <c r="B21" s="6">
        <v>184140348.05000001</v>
      </c>
      <c r="C21">
        <v>291322207.69</v>
      </c>
      <c r="D21">
        <v>409328951.44</v>
      </c>
      <c r="E21">
        <v>884791507.17999995</v>
      </c>
      <c r="F21">
        <v>1809536.77</v>
      </c>
      <c r="G21">
        <v>1154507.3700000001</v>
      </c>
      <c r="H21">
        <v>4983535.1200000001</v>
      </c>
      <c r="I21">
        <f t="shared" si="3"/>
        <v>7947579.2599999998</v>
      </c>
      <c r="J21">
        <v>2.5070045624223001</v>
      </c>
      <c r="K21">
        <v>86.999064462749004</v>
      </c>
      <c r="L21">
        <v>29.514400756097</v>
      </c>
      <c r="M21" s="7">
        <f t="shared" si="4"/>
        <v>119.0204697812683</v>
      </c>
      <c r="N21" s="9">
        <v>49633.531999999999</v>
      </c>
      <c r="O21" s="9">
        <v>165979.427</v>
      </c>
      <c r="P21">
        <v>1911372</v>
      </c>
      <c r="Q21">
        <v>2728051</v>
      </c>
      <c r="R21">
        <v>4691296</v>
      </c>
      <c r="S21">
        <f t="shared" si="5"/>
        <v>9330719</v>
      </c>
    </row>
    <row r="22" ht="14.25">
      <c r="A22">
        <v>2023</v>
      </c>
      <c r="B22" s="6">
        <v>195964280.28</v>
      </c>
      <c r="C22">
        <v>289231698.05000001</v>
      </c>
      <c r="D22">
        <v>436681043.44999999</v>
      </c>
      <c r="E22">
        <v>921877021.77999997</v>
      </c>
      <c r="F22">
        <v>1696819.1200000001</v>
      </c>
      <c r="G22">
        <v>1755948.54</v>
      </c>
      <c r="H22">
        <v>5222205.3700000001</v>
      </c>
      <c r="I22">
        <f t="shared" si="3"/>
        <v>8674973.0300000012</v>
      </c>
      <c r="J22">
        <v>3.0597806910137999</v>
      </c>
      <c r="K22">
        <v>87.689953629650006</v>
      </c>
      <c r="L22">
        <v>31.289213406230999</v>
      </c>
      <c r="M22" s="7">
        <f t="shared" si="4"/>
        <v>122.0389477268948</v>
      </c>
      <c r="N22" s="9">
        <v>54912.076999999997</v>
      </c>
      <c r="O22" s="9">
        <v>191433.848</v>
      </c>
      <c r="P22">
        <v>2073573</v>
      </c>
      <c r="Q22">
        <v>2853855</v>
      </c>
      <c r="R22">
        <v>4902854</v>
      </c>
      <c r="S22">
        <f t="shared" si="5"/>
        <v>9830282</v>
      </c>
    </row>
    <row r="23" ht="14.25">
      <c r="A23">
        <v>2024</v>
      </c>
      <c r="B23" s="6">
        <v>156582535.58000001</v>
      </c>
      <c r="C23">
        <v>273103127.30000001</v>
      </c>
      <c r="D23">
        <v>426091565.55000001</v>
      </c>
      <c r="E23">
        <v>855777228.42999995</v>
      </c>
      <c r="F23">
        <v>1406104.99</v>
      </c>
      <c r="G23">
        <v>1168593.04</v>
      </c>
      <c r="H23">
        <v>4840523.4000000004</v>
      </c>
      <c r="I23">
        <f t="shared" si="3"/>
        <v>7415221.4300000006</v>
      </c>
      <c r="J23">
        <v>3.1214121083794999</v>
      </c>
      <c r="K23">
        <v>87.929879166299997</v>
      </c>
      <c r="L23">
        <v>31.668736425879999</v>
      </c>
      <c r="M23" s="7">
        <f t="shared" si="4"/>
        <v>122.7200277005595</v>
      </c>
      <c r="N23" s="9">
        <v>58366.559000000001</v>
      </c>
      <c r="O23" s="9">
        <v>224581.399</v>
      </c>
      <c r="P23">
        <v>2200924</v>
      </c>
      <c r="Q23">
        <v>3123327</v>
      </c>
      <c r="R23">
        <v>5032729</v>
      </c>
      <c r="S23">
        <f t="shared" si="5"/>
        <v>10356980</v>
      </c>
    </row>
    <row r="30" ht="14.25">
      <c r="P30"/>
      <c r="Q30"/>
      <c r="R30"/>
      <c r="S3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2026-10-06T23:40:22Z</dcterms:modified>
</cp:coreProperties>
</file>